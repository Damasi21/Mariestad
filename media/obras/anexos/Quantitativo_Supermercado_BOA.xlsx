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0243EB5C-8CDE-45C5-BA7A-860E08CB7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ntitativo" sheetId="1" r:id="rId1"/>
  </sheets>
  <definedNames>
    <definedName name="_xlnm.Print_Area" localSheetId="0">Quantitativo!$A1:$E16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1" l="1"/>
  <c r="B103" i="1"/>
  <c r="B104" i="1"/>
  <c r="B105" i="1"/>
  <c r="B106" i="1"/>
  <c r="B107" i="1"/>
  <c r="E107" i="1"/>
  <c r="D107" i="1" s="1"/>
  <c r="E106" i="1"/>
  <c r="D106" i="1" s="1"/>
  <c r="E104" i="1"/>
  <c r="D104" i="1" s="1"/>
  <c r="D103" i="1"/>
  <c r="D89" i="1"/>
  <c r="E74" i="1"/>
  <c r="D74" i="1"/>
  <c r="D98" i="1"/>
  <c r="E83" i="1"/>
  <c r="D83" i="1"/>
  <c r="B98" i="1"/>
  <c r="B93" i="1"/>
  <c r="E93" i="1" s="1"/>
  <c r="D93" i="1" s="1"/>
  <c r="B78" i="1"/>
  <c r="D75" i="1"/>
  <c r="E75" i="1" s="1"/>
  <c r="D90" i="1"/>
  <c r="B90" i="1"/>
  <c r="E90" i="1" s="1"/>
  <c r="B75" i="1"/>
  <c r="B97" i="1"/>
  <c r="E97" i="1" s="1"/>
  <c r="E96" i="1"/>
  <c r="D96" i="1"/>
  <c r="B92" i="1"/>
  <c r="E92" i="1" s="1"/>
  <c r="D92" i="1" s="1"/>
  <c r="B89" i="1"/>
  <c r="B91" i="1" s="1"/>
  <c r="E91" i="1" s="1"/>
  <c r="E78" i="1"/>
  <c r="D78" i="1" s="1"/>
  <c r="B77" i="1"/>
  <c r="B74" i="1"/>
  <c r="B76" i="1"/>
  <c r="E82" i="1"/>
  <c r="D82" i="1" s="1"/>
  <c r="E81" i="1"/>
  <c r="D81" i="1" s="1"/>
  <c r="B83" i="1"/>
  <c r="B82" i="1"/>
  <c r="E77" i="1"/>
  <c r="D77" i="1" s="1"/>
  <c r="E76" i="1"/>
  <c r="D76" i="1" s="1"/>
  <c r="B61" i="1"/>
  <c r="B60" i="1"/>
  <c r="E69" i="1"/>
  <c r="D68" i="1"/>
  <c r="D67" i="1"/>
  <c r="D64" i="1"/>
  <c r="D63" i="1"/>
  <c r="D62" i="1"/>
  <c r="D58" i="1"/>
  <c r="D59" i="1"/>
  <c r="E61" i="1"/>
  <c r="D61" i="1" s="1"/>
  <c r="E60" i="1"/>
  <c r="D60" i="1" s="1"/>
  <c r="E53" i="1"/>
  <c r="B44" i="1"/>
  <c r="E44" i="1" s="1"/>
  <c r="D44" i="1" s="1"/>
  <c r="B43" i="1"/>
  <c r="E43" i="1" s="1"/>
  <c r="D52" i="1"/>
  <c r="D51" i="1"/>
  <c r="D48" i="1"/>
  <c r="D47" i="1"/>
  <c r="D46" i="1"/>
  <c r="D42" i="1"/>
  <c r="D41" i="1"/>
  <c r="B27" i="1"/>
  <c r="B28" i="1" s="1"/>
  <c r="E28" i="1" s="1"/>
  <c r="D28" i="1" s="1"/>
  <c r="B26" i="1"/>
  <c r="E26" i="1" s="1"/>
  <c r="D26" i="1" s="1"/>
  <c r="D35" i="1"/>
  <c r="D34" i="1"/>
  <c r="D31" i="1"/>
  <c r="D30" i="1"/>
  <c r="D29" i="1"/>
  <c r="D25" i="1"/>
  <c r="D24" i="1"/>
  <c r="E36" i="1"/>
  <c r="D18" i="1"/>
  <c r="D17" i="1"/>
  <c r="D14" i="1"/>
  <c r="D13" i="1"/>
  <c r="D12" i="1"/>
  <c r="D8" i="1"/>
  <c r="D7" i="1"/>
  <c r="B10" i="1"/>
  <c r="B11" i="1" s="1"/>
  <c r="E11" i="1" s="1"/>
  <c r="D11" i="1" s="1"/>
  <c r="B9" i="1"/>
  <c r="E9" i="1" s="1"/>
  <c r="E19" i="1"/>
  <c r="E105" i="1" l="1"/>
  <c r="D105" i="1" s="1"/>
  <c r="E79" i="1"/>
  <c r="E10" i="1"/>
  <c r="D10" i="1" s="1"/>
  <c r="D91" i="1"/>
  <c r="D97" i="1"/>
  <c r="E84" i="1"/>
  <c r="E65" i="1"/>
  <c r="E70" i="1" s="1"/>
  <c r="F70" i="1" s="1"/>
  <c r="D43" i="1"/>
  <c r="B45" i="1"/>
  <c r="E45" i="1" s="1"/>
  <c r="D45" i="1" s="1"/>
  <c r="E27" i="1"/>
  <c r="D27" i="1" s="1"/>
  <c r="D9" i="1"/>
  <c r="E85" i="1" l="1"/>
  <c r="F85" i="1" s="1"/>
  <c r="E15" i="1"/>
  <c r="E20" i="1" s="1"/>
  <c r="F20" i="1" s="1"/>
  <c r="E49" i="1"/>
  <c r="E54" i="1" s="1"/>
  <c r="F54" i="1" s="1"/>
  <c r="E32" i="1"/>
  <c r="E37" i="1" s="1"/>
  <c r="F37" i="1" s="1"/>
  <c r="E98" i="1"/>
  <c r="E99" i="1"/>
  <c r="E89" i="1"/>
  <c r="E94" i="1" s="1"/>
  <c r="E100" i="1" s="1"/>
  <c r="F100" i="1" s="1"/>
</calcChain>
</file>

<file path=xl/sharedStrings.xml><?xml version="1.0" encoding="utf-8"?>
<sst xmlns="http://schemas.openxmlformats.org/spreadsheetml/2006/main" count="167" uniqueCount="46">
  <si>
    <t>Descrição</t>
  </si>
  <si>
    <t>Quant.</t>
  </si>
  <si>
    <t>Un.</t>
  </si>
  <si>
    <t>Custo estimado</t>
  </si>
  <si>
    <t>Material</t>
  </si>
  <si>
    <t>Concreto (fck  35 MPa / fctm,k  4.5 MPa) (considerado 3%  de perdas)</t>
  </si>
  <si>
    <t>m³</t>
  </si>
  <si>
    <t>Fibra Sintética Macro4Max - 4kg/m³</t>
  </si>
  <si>
    <t>kg</t>
  </si>
  <si>
    <t>Espaçador de barra de transferência - Tipo A - Modelo EA5</t>
  </si>
  <si>
    <t>m</t>
  </si>
  <si>
    <t>Barras de transferência - Aço (Ø12,5 x 500mm)</t>
  </si>
  <si>
    <t>pç</t>
  </si>
  <si>
    <t>Lona de polietileno - 200 micra</t>
  </si>
  <si>
    <t>m²</t>
  </si>
  <si>
    <t>Total de material</t>
  </si>
  <si>
    <t>Mão de Obra para execução do piso</t>
  </si>
  <si>
    <t>Junta serrada</t>
  </si>
  <si>
    <t>Total de Mão de Obra</t>
  </si>
  <si>
    <t>Total</t>
  </si>
  <si>
    <t>m2</t>
  </si>
  <si>
    <t>Inibidor de Retração Plastica - Control4Max IR</t>
  </si>
  <si>
    <t>Cura Quimica - Cura4Max</t>
  </si>
  <si>
    <t>Endurecedor de Superficie - Fort4MAx</t>
  </si>
  <si>
    <t>l</t>
  </si>
  <si>
    <t>V. Unt</t>
  </si>
  <si>
    <t>Fibra Sintética Macro4Max - 4.5kg/m³</t>
  </si>
  <si>
    <t>Barras de transferência - Aço (Ø16 x 500mm)</t>
  </si>
  <si>
    <t>Estacionamento</t>
  </si>
  <si>
    <t>Outras áreas</t>
  </si>
  <si>
    <t>Concreto (fck  35 MPa / fctm,k  3.21 MPa) (considerado 3%  de perdas)</t>
  </si>
  <si>
    <t>Fibra Sintética Macro4Max - 5.5kg/m³</t>
  </si>
  <si>
    <t>Espaçador de barra de transferência - Tipo A - Modelo EA6</t>
  </si>
  <si>
    <t>Barras de transferência - Aço (Ø20 x 500mm)</t>
  </si>
  <si>
    <t>Doca</t>
  </si>
  <si>
    <t>Concreto (fck  30 MPa / fctm,k  4.5 MPa) (considerado 3%  de perdas)</t>
  </si>
  <si>
    <t>Espaçador de barra de transferência - Tipo A - Modelo EA3</t>
  </si>
  <si>
    <t>Barras de transferência - Aço (Ø10 x 500mm)</t>
  </si>
  <si>
    <t>Passeios</t>
  </si>
  <si>
    <t>Loja</t>
  </si>
  <si>
    <t>Veriniz Anti-risco - Verniz4Max</t>
  </si>
  <si>
    <t>Mão de Obra para execução de tela metálica</t>
  </si>
  <si>
    <t>Tela Q138</t>
  </si>
  <si>
    <t>Mezanino</t>
  </si>
  <si>
    <t>Concreto fck  30 Mpa (considerado 3%  de perdas)</t>
  </si>
  <si>
    <t>Fibra Sintética Macro4Max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</si>
</sst>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EAB9B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4" fontId="0" fillId="0" borderId="0" xfId="2" applyFont="1"/>
    <xf numFmtId="0" fontId="4" fillId="0" borderId="1" xfId="0" applyFont="1" applyBorder="1"/>
    <xf numFmtId="43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43" fontId="5" fillId="3" borderId="1" xfId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27129</xdr:colOff>
      <xdr:row>5</xdr:row>
      <xdr:rowOff>19526</xdr:rowOff>
    </xdr:from>
    <xdr:to>
      <xdr:col>13</xdr:col>
      <xdr:colOff>198608</xdr:colOff>
      <xdr:row>19</xdr:row>
      <xdr:rowOff>163871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1890CED-F1DD-695F-BEEF-8507FA315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6806" y="975440"/>
          <a:ext cx="4227287" cy="2820904"/>
        </a:xfrm>
        <a:prstGeom prst="rect">
          <a:avLst/>
        </a:prstGeom>
      </xdr:spPr>
    </xdr:pic>
    <xdr:clientData/>
  </xdr:twoCellAnchor>
  <xdr:twoCellAnchor editAs="oneCell">
    <xdr:from>
      <xdr:col>7</xdr:col>
      <xdr:colOff>45684</xdr:colOff>
      <xdr:row>21</xdr:row>
      <xdr:rowOff>9138</xdr:rowOff>
    </xdr:from>
    <xdr:to>
      <xdr:col>13</xdr:col>
      <xdr:colOff>598546</xdr:colOff>
      <xdr:row>37</xdr:row>
      <xdr:rowOff>5418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508DDE-0048-E959-7F6F-CA4875334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7698" y="4038419"/>
          <a:ext cx="4647654" cy="3066208"/>
        </a:xfrm>
        <a:prstGeom prst="rect">
          <a:avLst/>
        </a:prstGeom>
      </xdr:spPr>
    </xdr:pic>
    <xdr:clientData/>
  </xdr:twoCellAnchor>
  <xdr:twoCellAnchor editAs="oneCell">
    <xdr:from>
      <xdr:col>7</xdr:col>
      <xdr:colOff>27412</xdr:colOff>
      <xdr:row>38</xdr:row>
      <xdr:rowOff>9137</xdr:rowOff>
    </xdr:from>
    <xdr:to>
      <xdr:col>13</xdr:col>
      <xdr:colOff>233076</xdr:colOff>
      <xdr:row>53</xdr:row>
      <xdr:rowOff>155322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16AEEAD-6499-19AC-695E-BB3B5B0E5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9426" y="7300216"/>
          <a:ext cx="4262356" cy="3024243"/>
        </a:xfrm>
        <a:prstGeom prst="rect">
          <a:avLst/>
        </a:prstGeom>
      </xdr:spPr>
    </xdr:pic>
    <xdr:clientData/>
  </xdr:twoCellAnchor>
  <xdr:twoCellAnchor editAs="oneCell">
    <xdr:from>
      <xdr:col>7</xdr:col>
      <xdr:colOff>18273</xdr:colOff>
      <xdr:row>55</xdr:row>
      <xdr:rowOff>9136</xdr:rowOff>
    </xdr:from>
    <xdr:to>
      <xdr:col>13</xdr:col>
      <xdr:colOff>118776</xdr:colOff>
      <xdr:row>69</xdr:row>
      <xdr:rowOff>146351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1DD8FFE-435C-0382-3528-C1E175524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0287" y="10562014"/>
          <a:ext cx="4157195" cy="2823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9"/>
  <sheetViews>
    <sheetView tabSelected="1" topLeftCell="A85" zoomScale="139" workbookViewId="0">
      <selection activeCell="E109" sqref="E109"/>
    </sheetView>
  </sheetViews>
  <sheetFormatPr defaultColWidth="8.77734375" defaultRowHeight="14.4" x14ac:dyDescent="0.3"/>
  <cols>
    <col min="1" max="1" width="65" customWidth="1"/>
    <col min="2" max="2" width="15" style="1" customWidth="1"/>
    <col min="3" max="3" width="10" style="1" customWidth="1"/>
    <col min="4" max="4" width="10" style="14" customWidth="1"/>
    <col min="5" max="5" width="25" style="1" customWidth="1"/>
    <col min="6" max="6" width="10.5546875" bestFit="1" customWidth="1"/>
    <col min="7" max="7" width="3.6640625" bestFit="1" customWidth="1"/>
  </cols>
  <sheetData>
    <row r="1" spans="1:5" x14ac:dyDescent="0.3">
      <c r="A1" s="27"/>
      <c r="B1" s="27"/>
      <c r="C1" s="27"/>
      <c r="D1" s="27"/>
      <c r="E1" s="27"/>
    </row>
    <row r="2" spans="1:5" x14ac:dyDescent="0.3">
      <c r="A2" s="27"/>
      <c r="B2" s="27"/>
      <c r="C2" s="27"/>
      <c r="D2" s="27"/>
      <c r="E2" s="27"/>
    </row>
    <row r="3" spans="1:5" x14ac:dyDescent="0.3">
      <c r="A3" s="27"/>
      <c r="B3" s="27"/>
      <c r="C3" s="27"/>
      <c r="D3" s="27"/>
      <c r="E3" s="27"/>
    </row>
    <row r="4" spans="1:5" x14ac:dyDescent="0.3">
      <c r="A4" s="7" t="s">
        <v>0</v>
      </c>
      <c r="B4" s="7" t="s">
        <v>1</v>
      </c>
      <c r="C4" s="7" t="s">
        <v>2</v>
      </c>
      <c r="D4" s="15" t="s">
        <v>25</v>
      </c>
      <c r="E4" s="7" t="s">
        <v>3</v>
      </c>
    </row>
    <row r="5" spans="1:5" x14ac:dyDescent="0.3">
      <c r="A5" s="22" t="s">
        <v>28</v>
      </c>
      <c r="B5" s="23"/>
      <c r="C5" s="23"/>
      <c r="D5" s="23"/>
      <c r="E5" s="24"/>
    </row>
    <row r="6" spans="1:5" x14ac:dyDescent="0.3">
      <c r="A6" s="25" t="s">
        <v>4</v>
      </c>
      <c r="B6" s="25"/>
      <c r="C6" s="25"/>
      <c r="D6" s="25"/>
      <c r="E6" s="25"/>
    </row>
    <row r="7" spans="1:5" x14ac:dyDescent="0.3">
      <c r="A7" s="2" t="s">
        <v>5</v>
      </c>
      <c r="B7" s="6">
        <v>323.68</v>
      </c>
      <c r="C7" s="3" t="s">
        <v>6</v>
      </c>
      <c r="D7" s="6">
        <f>E7/B7</f>
        <v>597.71678818586258</v>
      </c>
      <c r="E7" s="4">
        <v>193468.97</v>
      </c>
    </row>
    <row r="8" spans="1:5" x14ac:dyDescent="0.3">
      <c r="A8" s="9" t="s">
        <v>7</v>
      </c>
      <c r="B8" s="10">
        <v>1334</v>
      </c>
      <c r="C8" s="11" t="s">
        <v>8</v>
      </c>
      <c r="D8" s="10">
        <f t="shared" ref="D8:D14" si="0">E8/B8</f>
        <v>30</v>
      </c>
      <c r="E8" s="12">
        <v>40020</v>
      </c>
    </row>
    <row r="9" spans="1:5" x14ac:dyDescent="0.3">
      <c r="A9" s="9" t="s">
        <v>21</v>
      </c>
      <c r="B9" s="10">
        <f>B7*2</f>
        <v>647.36</v>
      </c>
      <c r="C9" s="11" t="s">
        <v>8</v>
      </c>
      <c r="D9" s="10">
        <f t="shared" si="0"/>
        <v>23</v>
      </c>
      <c r="E9" s="12">
        <f>B9*23</f>
        <v>14889.28</v>
      </c>
    </row>
    <row r="10" spans="1:5" x14ac:dyDescent="0.3">
      <c r="A10" s="9" t="s">
        <v>22</v>
      </c>
      <c r="B10" s="10">
        <f>B17/10</f>
        <v>261.88</v>
      </c>
      <c r="C10" s="11" t="s">
        <v>24</v>
      </c>
      <c r="D10" s="10">
        <f t="shared" si="0"/>
        <v>9.86</v>
      </c>
      <c r="E10" s="12">
        <f>B10*9.86</f>
        <v>2582.1367999999998</v>
      </c>
    </row>
    <row r="11" spans="1:5" x14ac:dyDescent="0.3">
      <c r="A11" s="9" t="s">
        <v>23</v>
      </c>
      <c r="B11" s="10">
        <f>B10</f>
        <v>261.88</v>
      </c>
      <c r="C11" s="11" t="s">
        <v>24</v>
      </c>
      <c r="D11" s="10">
        <f t="shared" si="0"/>
        <v>8.6199999999999992</v>
      </c>
      <c r="E11" s="12">
        <f>B11*8.62</f>
        <v>2257.4055999999996</v>
      </c>
    </row>
    <row r="12" spans="1:5" x14ac:dyDescent="0.3">
      <c r="A12" s="2" t="s">
        <v>9</v>
      </c>
      <c r="B12" s="6">
        <v>2558</v>
      </c>
      <c r="C12" s="3" t="s">
        <v>10</v>
      </c>
      <c r="D12" s="6">
        <f t="shared" si="0"/>
        <v>6.92</v>
      </c>
      <c r="E12" s="4">
        <v>17701.36</v>
      </c>
    </row>
    <row r="13" spans="1:5" x14ac:dyDescent="0.3">
      <c r="A13" s="2" t="s">
        <v>11</v>
      </c>
      <c r="B13" s="6">
        <v>4264</v>
      </c>
      <c r="C13" s="3" t="s">
        <v>12</v>
      </c>
      <c r="D13" s="6">
        <f t="shared" si="0"/>
        <v>5.6499999999999995</v>
      </c>
      <c r="E13" s="4">
        <v>24091.599999999999</v>
      </c>
    </row>
    <row r="14" spans="1:5" x14ac:dyDescent="0.3">
      <c r="A14" s="2" t="s">
        <v>13</v>
      </c>
      <c r="B14" s="6">
        <v>2880.68</v>
      </c>
      <c r="C14" s="3" t="s">
        <v>14</v>
      </c>
      <c r="D14" s="6">
        <f t="shared" si="0"/>
        <v>1.8999993057194831</v>
      </c>
      <c r="E14" s="4">
        <v>5473.29</v>
      </c>
    </row>
    <row r="15" spans="1:5" x14ac:dyDescent="0.3">
      <c r="A15" s="26" t="s">
        <v>15</v>
      </c>
      <c r="B15" s="26"/>
      <c r="C15" s="26"/>
      <c r="D15" s="13"/>
      <c r="E15" s="5">
        <f>SUM(E7:E14)</f>
        <v>300484.04239999998</v>
      </c>
    </row>
    <row r="16" spans="1:5" x14ac:dyDescent="0.3">
      <c r="A16" s="25" t="s">
        <v>16</v>
      </c>
      <c r="B16" s="25"/>
      <c r="C16" s="25"/>
      <c r="D16" s="25"/>
      <c r="E16" s="25"/>
    </row>
    <row r="17" spans="1:7" x14ac:dyDescent="0.3">
      <c r="A17" s="2" t="s">
        <v>16</v>
      </c>
      <c r="B17" s="6">
        <v>2618.8000000000002</v>
      </c>
      <c r="C17" s="3" t="s">
        <v>14</v>
      </c>
      <c r="D17" s="6">
        <f t="shared" ref="D17:D18" si="1">E17/B17</f>
        <v>14.999999999999998</v>
      </c>
      <c r="E17" s="4">
        <v>39282</v>
      </c>
    </row>
    <row r="18" spans="1:7" x14ac:dyDescent="0.3">
      <c r="A18" s="2" t="s">
        <v>17</v>
      </c>
      <c r="B18" s="6">
        <v>1278.96</v>
      </c>
      <c r="C18" s="3" t="s">
        <v>10</v>
      </c>
      <c r="D18" s="6">
        <f t="shared" si="1"/>
        <v>9</v>
      </c>
      <c r="E18" s="4">
        <v>11510.64</v>
      </c>
    </row>
    <row r="19" spans="1:7" x14ac:dyDescent="0.3">
      <c r="A19" s="26" t="s">
        <v>18</v>
      </c>
      <c r="B19" s="26"/>
      <c r="C19" s="26"/>
      <c r="D19" s="13"/>
      <c r="E19" s="5">
        <f>SUM(E17:E18)</f>
        <v>50792.639999999999</v>
      </c>
    </row>
    <row r="20" spans="1:7" x14ac:dyDescent="0.3">
      <c r="A20" s="19" t="s">
        <v>19</v>
      </c>
      <c r="B20" s="20"/>
      <c r="C20" s="20"/>
      <c r="D20" s="21"/>
      <c r="E20" s="16">
        <f>E19+E15</f>
        <v>351276.68239999999</v>
      </c>
      <c r="F20" s="8">
        <f>E20/B17</f>
        <v>134.13650618603938</v>
      </c>
      <c r="G20" t="s">
        <v>20</v>
      </c>
    </row>
    <row r="22" spans="1:7" x14ac:dyDescent="0.3">
      <c r="A22" s="22" t="s">
        <v>29</v>
      </c>
      <c r="B22" s="23"/>
      <c r="C22" s="23"/>
      <c r="D22" s="23"/>
      <c r="E22" s="24"/>
    </row>
    <row r="23" spans="1:7" x14ac:dyDescent="0.3">
      <c r="A23" s="25" t="s">
        <v>4</v>
      </c>
      <c r="B23" s="25"/>
      <c r="C23" s="25"/>
      <c r="D23" s="25"/>
      <c r="E23" s="25"/>
    </row>
    <row r="24" spans="1:7" x14ac:dyDescent="0.3">
      <c r="A24" s="2" t="s">
        <v>5</v>
      </c>
      <c r="B24" s="6">
        <v>43.37</v>
      </c>
      <c r="C24" s="3" t="s">
        <v>6</v>
      </c>
      <c r="D24" s="6">
        <f t="shared" ref="D24:D31" si="2">E24/B24</f>
        <v>597.69310583352558</v>
      </c>
      <c r="E24" s="4">
        <v>25921.95</v>
      </c>
    </row>
    <row r="25" spans="1:7" s="17" customFormat="1" x14ac:dyDescent="0.3">
      <c r="A25" s="9" t="s">
        <v>26</v>
      </c>
      <c r="B25" s="10">
        <v>198</v>
      </c>
      <c r="C25" s="11" t="s">
        <v>8</v>
      </c>
      <c r="D25" s="10">
        <f t="shared" si="2"/>
        <v>30</v>
      </c>
      <c r="E25" s="12">
        <v>5940</v>
      </c>
    </row>
    <row r="26" spans="1:7" x14ac:dyDescent="0.3">
      <c r="A26" s="9" t="s">
        <v>21</v>
      </c>
      <c r="B26" s="10">
        <f>B24*2</f>
        <v>86.74</v>
      </c>
      <c r="C26" s="11" t="s">
        <v>8</v>
      </c>
      <c r="D26" s="10">
        <f t="shared" si="2"/>
        <v>23</v>
      </c>
      <c r="E26" s="12">
        <f>B26*23</f>
        <v>1995.02</v>
      </c>
    </row>
    <row r="27" spans="1:7" x14ac:dyDescent="0.3">
      <c r="A27" s="9" t="s">
        <v>22</v>
      </c>
      <c r="B27" s="10">
        <f>B34/10</f>
        <v>35.088000000000001</v>
      </c>
      <c r="C27" s="11" t="s">
        <v>24</v>
      </c>
      <c r="D27" s="10">
        <f t="shared" si="2"/>
        <v>9.86</v>
      </c>
      <c r="E27" s="12">
        <f>B27*9.86</f>
        <v>345.96767999999997</v>
      </c>
    </row>
    <row r="28" spans="1:7" x14ac:dyDescent="0.3">
      <c r="A28" s="9" t="s">
        <v>23</v>
      </c>
      <c r="B28" s="10">
        <f>B27</f>
        <v>35.088000000000001</v>
      </c>
      <c r="C28" s="11" t="s">
        <v>24</v>
      </c>
      <c r="D28" s="10">
        <f t="shared" si="2"/>
        <v>8.6199999999999992</v>
      </c>
      <c r="E28" s="12">
        <f>B28*8.62</f>
        <v>302.45855999999998</v>
      </c>
    </row>
    <row r="29" spans="1:7" x14ac:dyDescent="0.3">
      <c r="A29" s="2" t="s">
        <v>9</v>
      </c>
      <c r="B29" s="6">
        <v>320</v>
      </c>
      <c r="C29" s="3" t="s">
        <v>10</v>
      </c>
      <c r="D29" s="6">
        <f t="shared" si="2"/>
        <v>6.92</v>
      </c>
      <c r="E29" s="4">
        <v>2214.4</v>
      </c>
    </row>
    <row r="30" spans="1:7" x14ac:dyDescent="0.3">
      <c r="A30" s="2" t="s">
        <v>27</v>
      </c>
      <c r="B30" s="6">
        <v>534</v>
      </c>
      <c r="C30" s="3" t="s">
        <v>12</v>
      </c>
      <c r="D30" s="6">
        <f t="shared" si="2"/>
        <v>9.0399999999999991</v>
      </c>
      <c r="E30" s="4">
        <v>4827.3599999999997</v>
      </c>
    </row>
    <row r="31" spans="1:7" x14ac:dyDescent="0.3">
      <c r="A31" s="2" t="s">
        <v>13</v>
      </c>
      <c r="B31" s="6">
        <v>385.97</v>
      </c>
      <c r="C31" s="3" t="s">
        <v>14</v>
      </c>
      <c r="D31" s="6">
        <f t="shared" si="2"/>
        <v>1.8999922273751846</v>
      </c>
      <c r="E31" s="4">
        <v>733.34</v>
      </c>
    </row>
    <row r="32" spans="1:7" x14ac:dyDescent="0.3">
      <c r="A32" s="26" t="s">
        <v>15</v>
      </c>
      <c r="B32" s="26"/>
      <c r="C32" s="26"/>
      <c r="D32" s="13"/>
      <c r="E32" s="5">
        <f>SUM(E24:E31)</f>
        <v>42280.49624</v>
      </c>
    </row>
    <row r="33" spans="1:7" x14ac:dyDescent="0.3">
      <c r="A33" s="25" t="s">
        <v>16</v>
      </c>
      <c r="B33" s="25"/>
      <c r="C33" s="25"/>
      <c r="D33" s="25"/>
      <c r="E33" s="25"/>
    </row>
    <row r="34" spans="1:7" x14ac:dyDescent="0.3">
      <c r="A34" s="2" t="s">
        <v>16</v>
      </c>
      <c r="B34" s="6">
        <v>350.88</v>
      </c>
      <c r="C34" s="3" t="s">
        <v>14</v>
      </c>
      <c r="D34" s="6">
        <f t="shared" ref="D34:D35" si="3">E34/B34</f>
        <v>15</v>
      </c>
      <c r="E34" s="4">
        <v>5263.2</v>
      </c>
    </row>
    <row r="35" spans="1:7" x14ac:dyDescent="0.3">
      <c r="A35" s="2" t="s">
        <v>17</v>
      </c>
      <c r="B35" s="6">
        <v>160</v>
      </c>
      <c r="C35" s="3" t="s">
        <v>10</v>
      </c>
      <c r="D35" s="6">
        <f t="shared" si="3"/>
        <v>9</v>
      </c>
      <c r="E35" s="4">
        <v>1440</v>
      </c>
    </row>
    <row r="36" spans="1:7" x14ac:dyDescent="0.3">
      <c r="A36" s="26" t="s">
        <v>18</v>
      </c>
      <c r="B36" s="26"/>
      <c r="C36" s="26"/>
      <c r="D36" s="13"/>
      <c r="E36" s="5">
        <f>SUM(E34:E35)</f>
        <v>6703.2</v>
      </c>
    </row>
    <row r="37" spans="1:7" x14ac:dyDescent="0.3">
      <c r="A37" s="19" t="s">
        <v>19</v>
      </c>
      <c r="B37" s="20"/>
      <c r="C37" s="20"/>
      <c r="D37" s="21"/>
      <c r="E37" s="16">
        <f>E36+E32</f>
        <v>48983.696239999997</v>
      </c>
      <c r="F37" s="8">
        <f>E37/B34</f>
        <v>139.60241746466028</v>
      </c>
      <c r="G37" t="s">
        <v>20</v>
      </c>
    </row>
    <row r="39" spans="1:7" x14ac:dyDescent="0.3">
      <c r="A39" s="22" t="s">
        <v>34</v>
      </c>
      <c r="B39" s="23"/>
      <c r="C39" s="23"/>
      <c r="D39" s="23"/>
      <c r="E39" s="24"/>
    </row>
    <row r="40" spans="1:7" x14ac:dyDescent="0.3">
      <c r="A40" s="25" t="s">
        <v>4</v>
      </c>
      <c r="B40" s="25"/>
      <c r="C40" s="25"/>
      <c r="D40" s="25"/>
      <c r="E40" s="25"/>
    </row>
    <row r="41" spans="1:7" x14ac:dyDescent="0.3">
      <c r="A41" s="2" t="s">
        <v>30</v>
      </c>
      <c r="B41" s="6">
        <v>20.54</v>
      </c>
      <c r="C41" s="3" t="s">
        <v>6</v>
      </c>
      <c r="D41" s="6">
        <f t="shared" ref="D41:D52" si="4">E41/B41</f>
        <v>597.83154819863682</v>
      </c>
      <c r="E41" s="4">
        <v>12279.46</v>
      </c>
    </row>
    <row r="42" spans="1:7" s="17" customFormat="1" x14ac:dyDescent="0.3">
      <c r="A42" s="9" t="s">
        <v>31</v>
      </c>
      <c r="B42" s="10">
        <v>115</v>
      </c>
      <c r="C42" s="11" t="s">
        <v>8</v>
      </c>
      <c r="D42" s="10">
        <f t="shared" si="4"/>
        <v>30</v>
      </c>
      <c r="E42" s="12">
        <v>3450</v>
      </c>
    </row>
    <row r="43" spans="1:7" x14ac:dyDescent="0.3">
      <c r="A43" s="9" t="s">
        <v>21</v>
      </c>
      <c r="B43" s="10">
        <f>B41*2</f>
        <v>41.08</v>
      </c>
      <c r="C43" s="11" t="s">
        <v>8</v>
      </c>
      <c r="D43" s="10">
        <f t="shared" si="4"/>
        <v>23</v>
      </c>
      <c r="E43" s="12">
        <f>B43*23</f>
        <v>944.83999999999992</v>
      </c>
    </row>
    <row r="44" spans="1:7" x14ac:dyDescent="0.3">
      <c r="A44" s="9" t="s">
        <v>22</v>
      </c>
      <c r="B44" s="10">
        <f>B51/10</f>
        <v>14.247</v>
      </c>
      <c r="C44" s="11" t="s">
        <v>24</v>
      </c>
      <c r="D44" s="10">
        <f t="shared" si="4"/>
        <v>9.86</v>
      </c>
      <c r="E44" s="12">
        <f>B44*9.86</f>
        <v>140.47541999999999</v>
      </c>
    </row>
    <row r="45" spans="1:7" x14ac:dyDescent="0.3">
      <c r="A45" s="9" t="s">
        <v>23</v>
      </c>
      <c r="B45" s="10">
        <f>B44</f>
        <v>14.247</v>
      </c>
      <c r="C45" s="11" t="s">
        <v>24</v>
      </c>
      <c r="D45" s="10">
        <f t="shared" si="4"/>
        <v>8.6199999999999992</v>
      </c>
      <c r="E45" s="12">
        <f>B45*8.62</f>
        <v>122.80913999999999</v>
      </c>
    </row>
    <row r="46" spans="1:7" x14ac:dyDescent="0.3">
      <c r="A46" s="2" t="s">
        <v>32</v>
      </c>
      <c r="B46" s="6">
        <v>160</v>
      </c>
      <c r="C46" s="3" t="s">
        <v>10</v>
      </c>
      <c r="D46" s="6">
        <f t="shared" si="4"/>
        <v>6.85</v>
      </c>
      <c r="E46" s="4">
        <v>1096</v>
      </c>
    </row>
    <row r="47" spans="1:7" x14ac:dyDescent="0.3">
      <c r="A47" s="2" t="s">
        <v>33</v>
      </c>
      <c r="B47" s="6">
        <v>267</v>
      </c>
      <c r="C47" s="3" t="s">
        <v>12</v>
      </c>
      <c r="D47" s="6">
        <f t="shared" si="4"/>
        <v>13.88</v>
      </c>
      <c r="E47" s="4">
        <v>3705.96</v>
      </c>
    </row>
    <row r="48" spans="1:7" x14ac:dyDescent="0.3">
      <c r="A48" s="2" t="s">
        <v>13</v>
      </c>
      <c r="B48" s="6">
        <v>156.72</v>
      </c>
      <c r="C48" s="3" t="s">
        <v>14</v>
      </c>
      <c r="D48" s="6">
        <f t="shared" si="4"/>
        <v>1.8999489535477283</v>
      </c>
      <c r="E48" s="4">
        <v>297.76</v>
      </c>
    </row>
    <row r="49" spans="1:7" x14ac:dyDescent="0.3">
      <c r="A49" s="26" t="s">
        <v>15</v>
      </c>
      <c r="B49" s="26"/>
      <c r="C49" s="26"/>
      <c r="D49" s="13"/>
      <c r="E49" s="5">
        <f>SUM(E41:E48)</f>
        <v>22037.304559999997</v>
      </c>
    </row>
    <row r="50" spans="1:7" x14ac:dyDescent="0.3">
      <c r="A50" s="25" t="s">
        <v>16</v>
      </c>
      <c r="B50" s="25"/>
      <c r="C50" s="25"/>
      <c r="D50" s="25"/>
      <c r="E50" s="25"/>
    </row>
    <row r="51" spans="1:7" x14ac:dyDescent="0.3">
      <c r="A51" s="2" t="s">
        <v>16</v>
      </c>
      <c r="B51" s="6">
        <v>142.47</v>
      </c>
      <c r="C51" s="3" t="s">
        <v>14</v>
      </c>
      <c r="D51" s="6">
        <f t="shared" si="4"/>
        <v>15.000000000000002</v>
      </c>
      <c r="E51" s="4">
        <v>2137.0500000000002</v>
      </c>
    </row>
    <row r="52" spans="1:7" x14ac:dyDescent="0.3">
      <c r="A52" s="2" t="s">
        <v>17</v>
      </c>
      <c r="B52" s="6">
        <v>80</v>
      </c>
      <c r="C52" s="3" t="s">
        <v>10</v>
      </c>
      <c r="D52" s="6">
        <f t="shared" si="4"/>
        <v>9</v>
      </c>
      <c r="E52" s="4">
        <v>720</v>
      </c>
    </row>
    <row r="53" spans="1:7" x14ac:dyDescent="0.3">
      <c r="A53" s="26" t="s">
        <v>18</v>
      </c>
      <c r="B53" s="26"/>
      <c r="C53" s="26"/>
      <c r="D53" s="13"/>
      <c r="E53" s="5">
        <f>SUM(E51:E52)</f>
        <v>2857.05</v>
      </c>
    </row>
    <row r="54" spans="1:7" x14ac:dyDescent="0.3">
      <c r="A54" s="19" t="s">
        <v>19</v>
      </c>
      <c r="B54" s="20"/>
      <c r="C54" s="20"/>
      <c r="D54" s="21"/>
      <c r="E54" s="16">
        <f>E53+E49</f>
        <v>24894.354559999996</v>
      </c>
      <c r="F54" s="8">
        <f>E54/B51</f>
        <v>174.73401109005403</v>
      </c>
      <c r="G54" t="s">
        <v>20</v>
      </c>
    </row>
    <row r="56" spans="1:7" x14ac:dyDescent="0.3">
      <c r="A56" s="22" t="s">
        <v>38</v>
      </c>
      <c r="B56" s="23"/>
      <c r="C56" s="23"/>
      <c r="D56" s="23"/>
      <c r="E56" s="24"/>
    </row>
    <row r="57" spans="1:7" x14ac:dyDescent="0.3">
      <c r="A57" s="25" t="s">
        <v>4</v>
      </c>
      <c r="B57" s="25"/>
      <c r="C57" s="25"/>
      <c r="D57" s="25"/>
      <c r="E57" s="25"/>
    </row>
    <row r="58" spans="1:7" x14ac:dyDescent="0.3">
      <c r="A58" s="2" t="s">
        <v>35</v>
      </c>
      <c r="B58" s="6">
        <v>44.16</v>
      </c>
      <c r="C58" s="3" t="s">
        <v>6</v>
      </c>
      <c r="D58" s="6">
        <f t="shared" ref="D58" si="5">E58/B58</f>
        <v>578.98346920289862</v>
      </c>
      <c r="E58" s="4">
        <v>25567.91</v>
      </c>
    </row>
    <row r="59" spans="1:7" x14ac:dyDescent="0.3">
      <c r="A59" s="9" t="s">
        <v>7</v>
      </c>
      <c r="B59" s="10">
        <v>179</v>
      </c>
      <c r="C59" s="11" t="s">
        <v>8</v>
      </c>
      <c r="D59" s="10">
        <f t="shared" ref="D59:D64" si="6">E59/B59</f>
        <v>30</v>
      </c>
      <c r="E59" s="12">
        <v>5370</v>
      </c>
    </row>
    <row r="60" spans="1:7" x14ac:dyDescent="0.3">
      <c r="A60" s="9" t="s">
        <v>21</v>
      </c>
      <c r="B60" s="10">
        <f>B58*2</f>
        <v>88.32</v>
      </c>
      <c r="C60" s="11" t="s">
        <v>8</v>
      </c>
      <c r="D60" s="10">
        <f t="shared" si="6"/>
        <v>23</v>
      </c>
      <c r="E60" s="12">
        <f>B60*23</f>
        <v>2031.36</v>
      </c>
    </row>
    <row r="61" spans="1:7" x14ac:dyDescent="0.3">
      <c r="A61" s="9" t="s">
        <v>22</v>
      </c>
      <c r="B61" s="10">
        <f>B68/10</f>
        <v>32</v>
      </c>
      <c r="C61" s="11" t="s">
        <v>24</v>
      </c>
      <c r="D61" s="10">
        <f t="shared" si="6"/>
        <v>9.86</v>
      </c>
      <c r="E61" s="12">
        <f>B61*9.86</f>
        <v>315.52</v>
      </c>
    </row>
    <row r="62" spans="1:7" x14ac:dyDescent="0.3">
      <c r="A62" s="2" t="s">
        <v>36</v>
      </c>
      <c r="B62" s="6">
        <v>640</v>
      </c>
      <c r="C62" s="3" t="s">
        <v>10</v>
      </c>
      <c r="D62" s="6">
        <f t="shared" si="6"/>
        <v>7.3</v>
      </c>
      <c r="E62" s="4">
        <v>4672</v>
      </c>
    </row>
    <row r="63" spans="1:7" x14ac:dyDescent="0.3">
      <c r="A63" s="2" t="s">
        <v>37</v>
      </c>
      <c r="B63" s="6">
        <v>1067</v>
      </c>
      <c r="C63" s="3" t="s">
        <v>12</v>
      </c>
      <c r="D63" s="6">
        <f t="shared" si="6"/>
        <v>3.56</v>
      </c>
      <c r="E63" s="4">
        <v>3798.52</v>
      </c>
    </row>
    <row r="64" spans="1:7" x14ac:dyDescent="0.3">
      <c r="A64" s="2" t="s">
        <v>13</v>
      </c>
      <c r="B64" s="6">
        <v>589.46</v>
      </c>
      <c r="C64" s="3" t="s">
        <v>14</v>
      </c>
      <c r="D64" s="6">
        <f t="shared" si="6"/>
        <v>1.899993214128185</v>
      </c>
      <c r="E64" s="4">
        <v>1119.97</v>
      </c>
    </row>
    <row r="65" spans="1:7" x14ac:dyDescent="0.3">
      <c r="A65" s="26" t="s">
        <v>15</v>
      </c>
      <c r="B65" s="26"/>
      <c r="C65" s="26"/>
      <c r="D65" s="13"/>
      <c r="E65" s="5">
        <f>SUM(E58:E64)</f>
        <v>42875.279999999992</v>
      </c>
    </row>
    <row r="66" spans="1:7" x14ac:dyDescent="0.3">
      <c r="A66" s="25" t="s">
        <v>16</v>
      </c>
      <c r="B66" s="25"/>
      <c r="C66" s="25"/>
      <c r="D66" s="25"/>
      <c r="E66" s="25"/>
    </row>
    <row r="67" spans="1:7" x14ac:dyDescent="0.3">
      <c r="A67" s="2" t="s">
        <v>16</v>
      </c>
      <c r="B67" s="6">
        <v>535.87</v>
      </c>
      <c r="C67" s="3" t="s">
        <v>14</v>
      </c>
      <c r="D67" s="6">
        <f t="shared" ref="D67:D68" si="7">E67/B67</f>
        <v>15</v>
      </c>
      <c r="E67" s="4">
        <v>8038.05</v>
      </c>
    </row>
    <row r="68" spans="1:7" x14ac:dyDescent="0.3">
      <c r="A68" s="2" t="s">
        <v>17</v>
      </c>
      <c r="B68" s="6">
        <v>320</v>
      </c>
      <c r="C68" s="3" t="s">
        <v>10</v>
      </c>
      <c r="D68" s="6">
        <f t="shared" si="7"/>
        <v>9</v>
      </c>
      <c r="E68" s="4">
        <v>2880</v>
      </c>
    </row>
    <row r="69" spans="1:7" x14ac:dyDescent="0.3">
      <c r="A69" s="26" t="s">
        <v>18</v>
      </c>
      <c r="B69" s="26"/>
      <c r="C69" s="26"/>
      <c r="D69" s="13"/>
      <c r="E69" s="5">
        <f>SUM(E67:E68)</f>
        <v>10918.05</v>
      </c>
    </row>
    <row r="70" spans="1:7" x14ac:dyDescent="0.3">
      <c r="A70" s="19" t="s">
        <v>19</v>
      </c>
      <c r="B70" s="20"/>
      <c r="C70" s="20"/>
      <c r="D70" s="21"/>
      <c r="E70" s="16">
        <f>E69+E65</f>
        <v>53793.329999999987</v>
      </c>
      <c r="F70" s="8">
        <f>E70/B67</f>
        <v>100.38503741579112</v>
      </c>
      <c r="G70" t="s">
        <v>20</v>
      </c>
    </row>
    <row r="72" spans="1:7" x14ac:dyDescent="0.3">
      <c r="A72" s="22" t="s">
        <v>39</v>
      </c>
      <c r="B72" s="23"/>
      <c r="C72" s="23"/>
      <c r="D72" s="23"/>
      <c r="E72" s="24"/>
    </row>
    <row r="73" spans="1:7" x14ac:dyDescent="0.3">
      <c r="A73" s="25" t="s">
        <v>4</v>
      </c>
      <c r="B73" s="25"/>
      <c r="C73" s="25"/>
      <c r="D73" s="25"/>
      <c r="E73" s="25"/>
    </row>
    <row r="74" spans="1:7" x14ac:dyDescent="0.3">
      <c r="A74" s="2" t="s">
        <v>44</v>
      </c>
      <c r="B74" s="6">
        <f>B81*0.05</f>
        <v>126.34300000000002</v>
      </c>
      <c r="C74" s="3" t="s">
        <v>6</v>
      </c>
      <c r="D74" s="6">
        <f>D58</f>
        <v>578.98346920289862</v>
      </c>
      <c r="E74" s="4">
        <f>D74*B74</f>
        <v>73150.508449501824</v>
      </c>
    </row>
    <row r="75" spans="1:7" x14ac:dyDescent="0.3">
      <c r="A75" s="2" t="s">
        <v>42</v>
      </c>
      <c r="B75" s="6">
        <f>B81*1.13</f>
        <v>2855.3517999999999</v>
      </c>
      <c r="C75" s="3" t="s">
        <v>14</v>
      </c>
      <c r="D75" s="6">
        <f>296.2/6/2.45</f>
        <v>20.149659863945576</v>
      </c>
      <c r="E75" s="4">
        <f>D75*B75</f>
        <v>57534.367561904757</v>
      </c>
    </row>
    <row r="76" spans="1:7" x14ac:dyDescent="0.3">
      <c r="A76" s="9" t="s">
        <v>21</v>
      </c>
      <c r="B76" s="10">
        <f>B74*2</f>
        <v>252.68600000000004</v>
      </c>
      <c r="C76" s="11" t="s">
        <v>8</v>
      </c>
      <c r="D76" s="10">
        <f t="shared" ref="D76:D77" si="8">E76/B76</f>
        <v>23</v>
      </c>
      <c r="E76" s="12">
        <f>B76*23</f>
        <v>5811.7780000000012</v>
      </c>
    </row>
    <row r="77" spans="1:7" x14ac:dyDescent="0.3">
      <c r="A77" s="9" t="s">
        <v>22</v>
      </c>
      <c r="B77" s="10">
        <f>B81/10</f>
        <v>252.68600000000001</v>
      </c>
      <c r="C77" s="11" t="s">
        <v>24</v>
      </c>
      <c r="D77" s="10">
        <f t="shared" si="8"/>
        <v>9.86</v>
      </c>
      <c r="E77" s="12">
        <f>B77*9.86</f>
        <v>2491.48396</v>
      </c>
    </row>
    <row r="78" spans="1:7" x14ac:dyDescent="0.3">
      <c r="A78" s="9" t="s">
        <v>40</v>
      </c>
      <c r="B78" s="10">
        <f>B81/15*2</f>
        <v>336.91466666666668</v>
      </c>
      <c r="C78" s="11" t="s">
        <v>24</v>
      </c>
      <c r="D78" s="10">
        <f t="shared" ref="D78" si="9">E78/B78</f>
        <v>50.63000000000001</v>
      </c>
      <c r="E78" s="12">
        <f>B78*50.63</f>
        <v>17057.989573333336</v>
      </c>
    </row>
    <row r="79" spans="1:7" x14ac:dyDescent="0.3">
      <c r="A79" s="26" t="s">
        <v>15</v>
      </c>
      <c r="B79" s="26"/>
      <c r="C79" s="26"/>
      <c r="D79" s="13"/>
      <c r="E79" s="5">
        <f>SUM(E74:E78)</f>
        <v>156046.12754473992</v>
      </c>
    </row>
    <row r="80" spans="1:7" x14ac:dyDescent="0.3">
      <c r="A80" s="25" t="s">
        <v>16</v>
      </c>
      <c r="B80" s="25"/>
      <c r="C80" s="25"/>
      <c r="D80" s="25"/>
      <c r="E80" s="25"/>
    </row>
    <row r="81" spans="1:7" x14ac:dyDescent="0.3">
      <c r="A81" s="2" t="s">
        <v>16</v>
      </c>
      <c r="B81" s="6">
        <v>2526.86</v>
      </c>
      <c r="C81" s="3" t="s">
        <v>14</v>
      </c>
      <c r="D81" s="6">
        <f t="shared" ref="D81" si="10">E81/B81</f>
        <v>15</v>
      </c>
      <c r="E81" s="4">
        <f>B81*15</f>
        <v>37902.9</v>
      </c>
    </row>
    <row r="82" spans="1:7" x14ac:dyDescent="0.3">
      <c r="A82" s="2" t="s">
        <v>41</v>
      </c>
      <c r="B82" s="6">
        <f>B81</f>
        <v>2526.86</v>
      </c>
      <c r="C82" s="3" t="s">
        <v>14</v>
      </c>
      <c r="D82" s="6">
        <f t="shared" ref="D82" si="11">E82/B82</f>
        <v>15</v>
      </c>
      <c r="E82" s="4">
        <f>B82*15</f>
        <v>37902.9</v>
      </c>
    </row>
    <row r="83" spans="1:7" x14ac:dyDescent="0.3">
      <c r="A83" s="2" t="s">
        <v>17</v>
      </c>
      <c r="B83" s="6">
        <f>B81/8/8*23</f>
        <v>908.0903125000001</v>
      </c>
      <c r="C83" s="3" t="s">
        <v>10</v>
      </c>
      <c r="D83" s="6">
        <f>D68</f>
        <v>9</v>
      </c>
      <c r="E83" s="4">
        <f>D83*B83</f>
        <v>8172.8128125000012</v>
      </c>
    </row>
    <row r="84" spans="1:7" x14ac:dyDescent="0.3">
      <c r="A84" s="26" t="s">
        <v>18</v>
      </c>
      <c r="B84" s="26"/>
      <c r="C84" s="26"/>
      <c r="D84" s="13"/>
      <c r="E84" s="5">
        <f>SUM(E81:E83)</f>
        <v>83978.61281250001</v>
      </c>
    </row>
    <row r="85" spans="1:7" x14ac:dyDescent="0.3">
      <c r="A85" s="19" t="s">
        <v>19</v>
      </c>
      <c r="B85" s="20"/>
      <c r="C85" s="20"/>
      <c r="D85" s="21"/>
      <c r="E85" s="16">
        <f>E84+E79</f>
        <v>240024.74035723993</v>
      </c>
      <c r="F85" s="8">
        <f>E85/B81</f>
        <v>94.989330773070108</v>
      </c>
      <c r="G85" t="s">
        <v>20</v>
      </c>
    </row>
    <row r="87" spans="1:7" x14ac:dyDescent="0.3">
      <c r="A87" s="22" t="s">
        <v>43</v>
      </c>
      <c r="B87" s="23"/>
      <c r="C87" s="23"/>
      <c r="D87" s="23"/>
      <c r="E87" s="24"/>
    </row>
    <row r="88" spans="1:7" x14ac:dyDescent="0.3">
      <c r="A88" s="25" t="s">
        <v>4</v>
      </c>
      <c r="B88" s="25"/>
      <c r="C88" s="25"/>
      <c r="D88" s="25"/>
      <c r="E88" s="25"/>
    </row>
    <row r="89" spans="1:7" x14ac:dyDescent="0.3">
      <c r="A89" s="2" t="s">
        <v>44</v>
      </c>
      <c r="B89" s="6">
        <f>B96*0.05</f>
        <v>21.837500000000002</v>
      </c>
      <c r="C89" s="3" t="s">
        <v>6</v>
      </c>
      <c r="D89" s="6">
        <f>D74</f>
        <v>578.98346920289862</v>
      </c>
      <c r="E89" s="4">
        <f>D89*B89</f>
        <v>12643.551508718299</v>
      </c>
    </row>
    <row r="90" spans="1:7" x14ac:dyDescent="0.3">
      <c r="A90" s="2" t="s">
        <v>42</v>
      </c>
      <c r="B90" s="6">
        <f>B96*1.13</f>
        <v>493.52749999999997</v>
      </c>
      <c r="C90" s="3" t="s">
        <v>14</v>
      </c>
      <c r="D90" s="6">
        <f>296.2/6/2.45</f>
        <v>20.149659863945576</v>
      </c>
      <c r="E90" s="4">
        <f>D90*B90</f>
        <v>9944.4112585033999</v>
      </c>
    </row>
    <row r="91" spans="1:7" x14ac:dyDescent="0.3">
      <c r="A91" s="9" t="s">
        <v>21</v>
      </c>
      <c r="B91" s="10">
        <f>B89*2</f>
        <v>43.675000000000004</v>
      </c>
      <c r="C91" s="11" t="s">
        <v>8</v>
      </c>
      <c r="D91" s="10">
        <f t="shared" ref="D91:D93" si="12">E91/B91</f>
        <v>23</v>
      </c>
      <c r="E91" s="12">
        <f>B91*23</f>
        <v>1004.5250000000001</v>
      </c>
    </row>
    <row r="92" spans="1:7" x14ac:dyDescent="0.3">
      <c r="A92" s="9" t="s">
        <v>22</v>
      </c>
      <c r="B92" s="10">
        <f>B96/10</f>
        <v>43.674999999999997</v>
      </c>
      <c r="C92" s="11" t="s">
        <v>24</v>
      </c>
      <c r="D92" s="10">
        <f t="shared" si="12"/>
        <v>9.86</v>
      </c>
      <c r="E92" s="12">
        <f>B92*9.86</f>
        <v>430.63549999999992</v>
      </c>
    </row>
    <row r="93" spans="1:7" x14ac:dyDescent="0.3">
      <c r="A93" s="9" t="s">
        <v>40</v>
      </c>
      <c r="B93" s="10">
        <f>B96/15*2</f>
        <v>58.233333333333334</v>
      </c>
      <c r="C93" s="11" t="s">
        <v>24</v>
      </c>
      <c r="D93" s="10">
        <f t="shared" si="12"/>
        <v>50.63</v>
      </c>
      <c r="E93" s="12">
        <f>B93*50.63</f>
        <v>2948.3536666666669</v>
      </c>
    </row>
    <row r="94" spans="1:7" x14ac:dyDescent="0.3">
      <c r="A94" s="26" t="s">
        <v>15</v>
      </c>
      <c r="B94" s="26"/>
      <c r="C94" s="26"/>
      <c r="D94" s="13"/>
      <c r="E94" s="5">
        <f>SUM(E89:E93)</f>
        <v>26971.476933888367</v>
      </c>
    </row>
    <row r="95" spans="1:7" x14ac:dyDescent="0.3">
      <c r="A95" s="25" t="s">
        <v>16</v>
      </c>
      <c r="B95" s="25"/>
      <c r="C95" s="25"/>
      <c r="D95" s="25"/>
      <c r="E95" s="25"/>
    </row>
    <row r="96" spans="1:7" x14ac:dyDescent="0.3">
      <c r="A96" s="2" t="s">
        <v>16</v>
      </c>
      <c r="B96" s="6">
        <v>436.75</v>
      </c>
      <c r="C96" s="3" t="s">
        <v>14</v>
      </c>
      <c r="D96" s="6">
        <f t="shared" ref="D96:D97" si="13">E96/B96</f>
        <v>15</v>
      </c>
      <c r="E96" s="4">
        <f>B96*15</f>
        <v>6551.25</v>
      </c>
    </row>
    <row r="97" spans="1:7" x14ac:dyDescent="0.3">
      <c r="A97" s="2" t="s">
        <v>41</v>
      </c>
      <c r="B97" s="6">
        <f>B96</f>
        <v>436.75</v>
      </c>
      <c r="C97" s="3" t="s">
        <v>14</v>
      </c>
      <c r="D97" s="6">
        <f t="shared" si="13"/>
        <v>15</v>
      </c>
      <c r="E97" s="4">
        <f>B97*15</f>
        <v>6551.25</v>
      </c>
    </row>
    <row r="98" spans="1:7" x14ac:dyDescent="0.3">
      <c r="A98" s="2" t="s">
        <v>17</v>
      </c>
      <c r="B98" s="6">
        <f>B96/8/8*22</f>
        <v>150.1328125</v>
      </c>
      <c r="C98" s="3" t="s">
        <v>10</v>
      </c>
      <c r="D98" s="6">
        <f>D83</f>
        <v>9</v>
      </c>
      <c r="E98" s="4">
        <f>D98*B98</f>
        <v>1351.1953125</v>
      </c>
    </row>
    <row r="99" spans="1:7" x14ac:dyDescent="0.3">
      <c r="A99" s="26" t="s">
        <v>18</v>
      </c>
      <c r="B99" s="26"/>
      <c r="C99" s="26"/>
      <c r="D99" s="13"/>
      <c r="E99" s="5">
        <f>SUM(E96:E98)</f>
        <v>14453.6953125</v>
      </c>
    </row>
    <row r="100" spans="1:7" x14ac:dyDescent="0.3">
      <c r="A100" s="19" t="s">
        <v>19</v>
      </c>
      <c r="B100" s="20"/>
      <c r="C100" s="20"/>
      <c r="D100" s="21"/>
      <c r="E100" s="16">
        <f>E99+E94</f>
        <v>41425.172246388363</v>
      </c>
      <c r="F100" s="8">
        <f>E100/B96</f>
        <v>94.848705773070094</v>
      </c>
      <c r="G100" t="s">
        <v>20</v>
      </c>
    </row>
    <row r="103" spans="1:7" x14ac:dyDescent="0.3">
      <c r="A103" s="9" t="s">
        <v>45</v>
      </c>
      <c r="B103" s="10">
        <f>B59+B42+B25+B8</f>
        <v>1826</v>
      </c>
      <c r="C103" s="11" t="s">
        <v>8</v>
      </c>
      <c r="D103" s="10">
        <f t="shared" ref="D103:D107" si="14">E103/B103</f>
        <v>21.916757940854325</v>
      </c>
      <c r="E103" s="12">
        <v>40020</v>
      </c>
    </row>
    <row r="104" spans="1:7" x14ac:dyDescent="0.3">
      <c r="A104" s="9" t="s">
        <v>21</v>
      </c>
      <c r="B104" s="10">
        <f>B43+B26+B9+B91+B76+B60</f>
        <v>1159.8610000000001</v>
      </c>
      <c r="C104" s="11" t="s">
        <v>8</v>
      </c>
      <c r="D104" s="10">
        <f t="shared" si="14"/>
        <v>23</v>
      </c>
      <c r="E104" s="12">
        <f>B104*23</f>
        <v>26676.803000000004</v>
      </c>
    </row>
    <row r="105" spans="1:7" x14ac:dyDescent="0.3">
      <c r="A105" s="9" t="s">
        <v>22</v>
      </c>
      <c r="B105" s="10">
        <f>B44+B27+B10+B92+B77+B61</f>
        <v>639.57600000000002</v>
      </c>
      <c r="C105" s="11" t="s">
        <v>24</v>
      </c>
      <c r="D105" s="10">
        <f t="shared" si="14"/>
        <v>9.86</v>
      </c>
      <c r="E105" s="12">
        <f>B105*9.86</f>
        <v>6306.2193600000001</v>
      </c>
    </row>
    <row r="106" spans="1:7" x14ac:dyDescent="0.3">
      <c r="A106" s="9" t="s">
        <v>23</v>
      </c>
      <c r="B106" s="10">
        <f>B45+B28+B11</f>
        <v>311.21499999999997</v>
      </c>
      <c r="C106" s="11" t="s">
        <v>24</v>
      </c>
      <c r="D106" s="10">
        <f t="shared" si="14"/>
        <v>8.6199999999999992</v>
      </c>
      <c r="E106" s="12">
        <f>B106*8.62</f>
        <v>2682.6732999999995</v>
      </c>
    </row>
    <row r="107" spans="1:7" x14ac:dyDescent="0.3">
      <c r="A107" s="9" t="s">
        <v>40</v>
      </c>
      <c r="B107" s="10">
        <f>B93+B78</f>
        <v>395.14800000000002</v>
      </c>
      <c r="C107" s="11" t="s">
        <v>24</v>
      </c>
      <c r="D107" s="10">
        <f t="shared" si="14"/>
        <v>50.63</v>
      </c>
      <c r="E107" s="12">
        <f>B107*50.63</f>
        <v>20006.343240000002</v>
      </c>
    </row>
    <row r="109" spans="1:7" x14ac:dyDescent="0.3">
      <c r="E109" s="18">
        <f>SUM(E103:E107)</f>
        <v>95692.0389</v>
      </c>
    </row>
  </sheetData>
  <mergeCells count="37">
    <mergeCell ref="A5:E5"/>
    <mergeCell ref="A20:D20"/>
    <mergeCell ref="A32:C32"/>
    <mergeCell ref="A1:E3"/>
    <mergeCell ref="A6:E6"/>
    <mergeCell ref="A15:C15"/>
    <mergeCell ref="A16:E16"/>
    <mergeCell ref="A19:C19"/>
    <mergeCell ref="A36:C36"/>
    <mergeCell ref="A23:E23"/>
    <mergeCell ref="A22:E22"/>
    <mergeCell ref="A33:E33"/>
    <mergeCell ref="A37:D37"/>
    <mergeCell ref="A39:E39"/>
    <mergeCell ref="A56:E56"/>
    <mergeCell ref="A40:E40"/>
    <mergeCell ref="A50:E50"/>
    <mergeCell ref="A54:D54"/>
    <mergeCell ref="A49:C49"/>
    <mergeCell ref="A53:C53"/>
    <mergeCell ref="A57:E57"/>
    <mergeCell ref="A66:E66"/>
    <mergeCell ref="A70:D70"/>
    <mergeCell ref="A72:E72"/>
    <mergeCell ref="A69:C69"/>
    <mergeCell ref="A65:C65"/>
    <mergeCell ref="A73:E73"/>
    <mergeCell ref="A79:C79"/>
    <mergeCell ref="A80:E80"/>
    <mergeCell ref="A84:C84"/>
    <mergeCell ref="A85:D85"/>
    <mergeCell ref="A100:D100"/>
    <mergeCell ref="A87:E87"/>
    <mergeCell ref="A88:E88"/>
    <mergeCell ref="A94:C94"/>
    <mergeCell ref="A95:E95"/>
    <mergeCell ref="A99:C99"/>
  </mergeCells>
  <pageMargins left="0.7" right="0.7" top="0.75" bottom="0.75" header="0.3" footer="0.3"/>
  <pageSetup fitToHeight="0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Quantitativo</vt:lpstr>
      <vt:lpstr>Quantitativo!Area_de_impressao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2025-04-09T12:29:21Z</dcterms:created>
  <dcterms:modified xsi:type="dcterms:W3CDTF">2025-04-09T13:30:03Z</dcterms:modified>
  <cp:category/>
</cp:coreProperties>
</file>